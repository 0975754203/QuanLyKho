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Huy\"/>
    </mc:Choice>
  </mc:AlternateContent>
  <xr:revisionPtr revIDLastSave="0" documentId="13_ncr:1_{4BE3EDE7-72FF-4A73-A8B1-043467C9FAC2}" xr6:coauthVersionLast="47" xr6:coauthVersionMax="47" xr10:uidLastSave="{00000000-0000-0000-0000-000000000000}"/>
  <bookViews>
    <workbookView xWindow="-120" yWindow="-120" windowWidth="29040" windowHeight="15840" xr2:uid="{A3F0F19E-E77F-4B45-8A5C-645057F3F4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W46" i="1" l="1"/>
  <c r="AV46" i="1"/>
  <c r="AU46" i="1"/>
  <c r="AT46" i="1"/>
  <c r="AS46" i="1"/>
  <c r="AR46" i="1"/>
  <c r="AQ46" i="1"/>
  <c r="AP46" i="1"/>
  <c r="AO46" i="1"/>
  <c r="AN46" i="1"/>
  <c r="AM46" i="1"/>
  <c r="AL46" i="1"/>
  <c r="AK46" i="1"/>
  <c r="AJ46" i="1"/>
  <c r="AI46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C46" i="1"/>
  <c r="AX45" i="1"/>
  <c r="AX44" i="1"/>
  <c r="AX43" i="1"/>
  <c r="AX42" i="1"/>
  <c r="AX41" i="1"/>
  <c r="AX40" i="1"/>
  <c r="AX39" i="1"/>
  <c r="AX38" i="1"/>
  <c r="AX37" i="1"/>
  <c r="AX36" i="1"/>
  <c r="AX35" i="1"/>
  <c r="AX34" i="1"/>
  <c r="AX33" i="1"/>
  <c r="AX32" i="1"/>
  <c r="AX31" i="1"/>
  <c r="AX30" i="1"/>
  <c r="AX29" i="1"/>
  <c r="AX28" i="1"/>
  <c r="AX27" i="1"/>
  <c r="AX26" i="1"/>
  <c r="AX25" i="1"/>
  <c r="AX24" i="1"/>
  <c r="AX23" i="1"/>
  <c r="AX22" i="1"/>
  <c r="AX21" i="1"/>
  <c r="AX20" i="1"/>
  <c r="AX19" i="1"/>
  <c r="AX18" i="1"/>
  <c r="AX17" i="1"/>
  <c r="AX16" i="1"/>
  <c r="AX15" i="1"/>
  <c r="AX14" i="1"/>
  <c r="AX13" i="1"/>
  <c r="AX12" i="1"/>
  <c r="AX11" i="1"/>
  <c r="AX10" i="1"/>
  <c r="AX9" i="1"/>
  <c r="AX8" i="1"/>
  <c r="AX7" i="1"/>
  <c r="AX6" i="1"/>
  <c r="AX5" i="1"/>
  <c r="AX4" i="1"/>
  <c r="AX3" i="1"/>
  <c r="AX46" i="1" l="1"/>
</calcChain>
</file>

<file path=xl/sharedStrings.xml><?xml version="1.0" encoding="utf-8"?>
<sst xmlns="http://schemas.openxmlformats.org/spreadsheetml/2006/main" count="144" uniqueCount="142">
  <si>
    <t>STT</t>
  </si>
  <si>
    <t>Tổng cộng</t>
  </si>
  <si>
    <t>PHÒNG QUẢN TRỊ</t>
  </si>
  <si>
    <t>NGƯỜI LẬP</t>
  </si>
  <si>
    <r>
      <t xml:space="preserve">BỆNH VIỆN K
</t>
    </r>
    <r>
      <rPr>
        <b/>
        <sz val="15"/>
        <color theme="1"/>
        <rFont val="Times New Roman"/>
        <family val="1"/>
      </rPr>
      <t>PHÒNG QUẢN TRỊ</t>
    </r>
  </si>
  <si>
    <t>Tên khoa/ phòng</t>
  </si>
  <si>
    <t>Aptomat MCB 1P - 20A</t>
  </si>
  <si>
    <t>Aptomat MCB 1P - 32A</t>
  </si>
  <si>
    <t>Aptomat 2P MCB - 40A</t>
  </si>
  <si>
    <t>Bộ bát sen tắm + dây sen</t>
  </si>
  <si>
    <t>Bộ nắp bồn cầu</t>
  </si>
  <si>
    <t>Bộ ruột xả nước bồn cầu - Loại tay gạt hông</t>
  </si>
  <si>
    <t>Bồn cầu vệ sinh</t>
  </si>
  <si>
    <t xml:space="preserve">Bóng đèn LED Âm trần Downlight </t>
  </si>
  <si>
    <t>Bóng đèn LED Âm trần Downlight 110/ 9W</t>
  </si>
  <si>
    <t>Bóng đèn LED Tuýp T8 1,2m</t>
  </si>
  <si>
    <t>Bóng đèn Panel 60x60/ 40W</t>
  </si>
  <si>
    <t>Bóng đèn tròn LED buld 5W</t>
  </si>
  <si>
    <t>Cây ghen nhựa</t>
  </si>
  <si>
    <t>Chậu rửa mặt có chân đứng</t>
  </si>
  <si>
    <t>Cút nhiệt ren ngoài Ø20 1/2</t>
  </si>
  <si>
    <t>Cút PVC Ø21</t>
  </si>
  <si>
    <t>Dây cấp nước chậu rửa - loại ngắn</t>
  </si>
  <si>
    <t>Dây điện 2x1.5</t>
  </si>
  <si>
    <t>Dây điện 2x2.5</t>
  </si>
  <si>
    <t>Dây điện 2x4</t>
  </si>
  <si>
    <t>Đế âm</t>
  </si>
  <si>
    <t>Đế nổi</t>
  </si>
  <si>
    <t>Đèn LED Panel 30x120/40W</t>
  </si>
  <si>
    <t>Đui đèn - đui đèn tròn - xoáy</t>
  </si>
  <si>
    <t>Hạt công tắc 10A</t>
  </si>
  <si>
    <t>Hạt công tắc 20A</t>
  </si>
  <si>
    <t>Hạt công tắc đảo chiều 10A</t>
  </si>
  <si>
    <t>Hộp số quạt trần</t>
  </si>
  <si>
    <t>Máng đèn Led tuýp đôi 1.2m - Không Ba Lát</t>
  </si>
  <si>
    <t>Mặt ổ cắm đôi 2 Ổ cắm 2 chấu</t>
  </si>
  <si>
    <t>Mặt ổ cắm đôi 2 Ổ cắm, 2 chấu, 2 công tắc</t>
  </si>
  <si>
    <t>Quạt cây công nghiệp 750</t>
  </si>
  <si>
    <t>Quạt cây sải cánh 45cm</t>
  </si>
  <si>
    <t>Quạt thông gió âm trần 25x25</t>
  </si>
  <si>
    <t>Quạt trần 3 cánh sắt 1,4m</t>
  </si>
  <si>
    <t>Quạt treo tường sải cánh 45cm</t>
  </si>
  <si>
    <t>Rơ - le bình nóng lạnh 30 lít</t>
  </si>
  <si>
    <t>Rơ - le cọc bình nóng lạnh 50 lít</t>
  </si>
  <si>
    <t>Tụ quạt trần 3.5µ</t>
  </si>
  <si>
    <t>Van xả ấn bồn tiểu loại ống thẳng</t>
  </si>
  <si>
    <t>Vòi chậu rửa - 1 chân</t>
  </si>
  <si>
    <t>Vòi chậu rửa dụng cụ - 1 chân</t>
  </si>
  <si>
    <t>Vòi chậu rửa nóng lạnh - 2 chân</t>
  </si>
  <si>
    <t>Vòi sen tắm nước nóng lạnh gắn tường</t>
  </si>
  <si>
    <t>Vòi xịt vệ sinh</t>
  </si>
  <si>
    <t>Xi phông</t>
  </si>
  <si>
    <t>Thanh đốt bình nóng lạnh 50 lít</t>
  </si>
  <si>
    <t>1</t>
  </si>
  <si>
    <t>Công tác xã hội</t>
  </si>
  <si>
    <t>2</t>
  </si>
  <si>
    <t>Điều dưỡng</t>
  </si>
  <si>
    <t>3</t>
  </si>
  <si>
    <t>Điều trị A</t>
  </si>
  <si>
    <t>4</t>
  </si>
  <si>
    <t>Đông y</t>
  </si>
  <si>
    <t>5</t>
  </si>
  <si>
    <t>Hành chính</t>
  </si>
  <si>
    <t>6</t>
  </si>
  <si>
    <t>Hồi sức cấp cứu</t>
  </si>
  <si>
    <t xml:space="preserve"> </t>
  </si>
  <si>
    <t>7</t>
  </si>
  <si>
    <t>Hồi sức tích cực</t>
  </si>
  <si>
    <t>8</t>
  </si>
  <si>
    <t>Khám bệnh Tân Triều</t>
  </si>
  <si>
    <t>9</t>
  </si>
  <si>
    <t>Kiểm soát nhiễm khuẩn</t>
  </si>
  <si>
    <t>10</t>
  </si>
  <si>
    <t>Ngoại A</t>
  </si>
  <si>
    <t>11</t>
  </si>
  <si>
    <t>Ngoại B</t>
  </si>
  <si>
    <t>12</t>
  </si>
  <si>
    <t>Ngoại bụng 1</t>
  </si>
  <si>
    <t>13</t>
  </si>
  <si>
    <t>Ngoại bụng 2</t>
  </si>
  <si>
    <t>14</t>
  </si>
  <si>
    <t>Ngoại cơ xương khớp</t>
  </si>
  <si>
    <t>15</t>
  </si>
  <si>
    <t>Ngoại D</t>
  </si>
  <si>
    <t>16</t>
  </si>
  <si>
    <t>Ngoại E</t>
  </si>
  <si>
    <t>17</t>
  </si>
  <si>
    <t>Ngoại gan mật tụy</t>
  </si>
  <si>
    <t>18</t>
  </si>
  <si>
    <t>Ngoại tai mũi họng</t>
  </si>
  <si>
    <t>19</t>
  </si>
  <si>
    <t>Ngoại thần kinh</t>
  </si>
  <si>
    <t>20</t>
  </si>
  <si>
    <t>Ngoại tiết niệu</t>
  </si>
  <si>
    <t>21</t>
  </si>
  <si>
    <t>Nhi</t>
  </si>
  <si>
    <t>22</t>
  </si>
  <si>
    <t>Nội 1</t>
  </si>
  <si>
    <t>23</t>
  </si>
  <si>
    <t>Nội 2</t>
  </si>
  <si>
    <t>24</t>
  </si>
  <si>
    <t>Nội 3</t>
  </si>
  <si>
    <t>25</t>
  </si>
  <si>
    <t>Nội 4</t>
  </si>
  <si>
    <t>26</t>
  </si>
  <si>
    <t>Nội 5</t>
  </si>
  <si>
    <t>27</t>
  </si>
  <si>
    <t>Nội 6</t>
  </si>
  <si>
    <t>28</t>
  </si>
  <si>
    <t>Nội 7</t>
  </si>
  <si>
    <t>29</t>
  </si>
  <si>
    <t>Nội soi thăm dò chức năng</t>
  </si>
  <si>
    <t>30</t>
  </si>
  <si>
    <t>Phẫu thuật GMHS</t>
  </si>
  <si>
    <t>31</t>
  </si>
  <si>
    <t>Quản lý chất lượng</t>
  </si>
  <si>
    <t>32</t>
  </si>
  <si>
    <t>Quản trị</t>
  </si>
  <si>
    <t>33</t>
  </si>
  <si>
    <t>Tài chính kế toán</t>
  </si>
  <si>
    <t>34</t>
  </si>
  <si>
    <t>TT chẩn đoán hình ảnh</t>
  </si>
  <si>
    <t>35</t>
  </si>
  <si>
    <t>TT Giải phẫu bệnh tế bào</t>
  </si>
  <si>
    <t>36</t>
  </si>
  <si>
    <t>TT Nghiên cứu lâm sàng</t>
  </si>
  <si>
    <t>37</t>
  </si>
  <si>
    <t>Vật lý xạ trị</t>
  </si>
  <si>
    <t>38</t>
  </si>
  <si>
    <t>Xạ 1</t>
  </si>
  <si>
    <t>39</t>
  </si>
  <si>
    <t>Xạ 2</t>
  </si>
  <si>
    <t>40</t>
  </si>
  <si>
    <t>Xạ 3</t>
  </si>
  <si>
    <t>41</t>
  </si>
  <si>
    <t>Xạ 5</t>
  </si>
  <si>
    <t>42</t>
  </si>
  <si>
    <t>Y học cổ truyền</t>
  </si>
  <si>
    <t>43</t>
  </si>
  <si>
    <t>Y học hạt nhân</t>
  </si>
  <si>
    <t xml:space="preserve">Hà Nội, ngày       tháng       năm </t>
  </si>
  <si>
    <r>
      <rPr>
        <b/>
        <sz val="18"/>
        <color theme="1"/>
        <rFont val="Times New Roman"/>
        <family val="1"/>
      </rPr>
      <t>BẢNG TỔNG HỢP XUẤT KHO VẬT TƯ PHÒNG QUẢN TRỊ</t>
    </r>
    <r>
      <rPr>
        <sz val="18"/>
        <color theme="1"/>
        <rFont val="Times New Roman"/>
        <family val="1"/>
      </rPr>
      <t xml:space="preserve">
(Thời gian từ ngày 04/09/2025 đến ngày 03/12/2025)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</si>
</sst>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3"/>
      <color theme="1"/>
      <name val="Times New Roman"/>
      <family val="1"/>
    </font>
    <font>
      <sz val="11"/>
      <color theme="1"/>
      <name val="Times New Roman"/>
      <family val="1"/>
    </font>
    <font>
      <sz val="15"/>
      <color theme="1"/>
      <name val="Times New Roman"/>
      <family val="1"/>
    </font>
    <font>
      <b/>
      <sz val="15"/>
      <color theme="1"/>
      <name val="Times New Roman"/>
      <family val="1"/>
    </font>
    <font>
      <sz val="18"/>
      <color theme="1"/>
      <name val="Times New Roman"/>
      <family val="1"/>
    </font>
    <font>
      <b/>
      <sz val="18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i/>
      <sz val="18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7" fillId="2" borderId="2" xfId="0" applyFont="1" applyFill="1" applyBorder="1" applyAlignment="1">
      <alignment horizontal="center" vertical="center" wrapText="1"/>
    </xf>
    <xf numFmtId="0" fontId="8" fillId="0" borderId="2" xfId="0" quotePrefix="1" applyFont="1" applyBorder="1" applyAlignment="1">
      <alignment horizontal="center"/>
    </xf>
    <xf numFmtId="0" fontId="8" fillId="0" borderId="2" xfId="0" applyFont="1" applyBorder="1" applyAlignment="1">
      <alignment horizontal="left"/>
    </xf>
    <xf numFmtId="0" fontId="8" fillId="0" borderId="2" xfId="0" applyFont="1" applyBorder="1"/>
    <xf numFmtId="3" fontId="9" fillId="0" borderId="2" xfId="0" applyNumberFormat="1" applyFont="1" applyBorder="1"/>
    <xf numFmtId="0" fontId="8" fillId="0" borderId="2" xfId="0" applyFont="1" applyBorder="1" applyAlignment="1">
      <alignment horizontal="right"/>
    </xf>
    <xf numFmtId="0" fontId="1" fillId="2" borderId="2" xfId="0" applyFont="1" applyFill="1" applyBorder="1" applyAlignment="1">
      <alignment horizontal="right" wrapText="1"/>
    </xf>
    <xf numFmtId="0" fontId="1" fillId="2" borderId="2" xfId="0" applyFont="1" applyFill="1" applyBorder="1" applyAlignment="1">
      <alignment horizontal="center" wrapText="1"/>
    </xf>
    <xf numFmtId="3" fontId="1" fillId="2" borderId="2" xfId="0" applyNumberFormat="1" applyFont="1" applyFill="1" applyBorder="1" applyAlignment="1">
      <alignment horizontal="right" wrapText="1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wrapText="1"/>
    </xf>
    <xf numFmtId="0" fontId="10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952500</xdr:colOff>
      <xdr:row>0</xdr:row>
      <xdr:rowOff>628650</xdr:rowOff>
    </xdr:from>
    <xdr:to>
      <xdr:col>2</xdr:col>
      <xdr:colOff>1924050</xdr:colOff>
      <xdr:row>0</xdr:row>
      <xdr:rowOff>628651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8CE44B3B-2416-440A-B630-489B5D16ABAA}"/>
            </a:ext>
          </a:extLst>
        </xdr:cNvPr>
        <xdr:cNvCxnSpPr/>
      </xdr:nvCxnSpPr>
      <xdr:spPr>
        <a:xfrm flipV="1">
          <a:off x="3333750" y="628650"/>
          <a:ext cx="0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1314450</xdr:colOff>
      <xdr:row>0</xdr:row>
      <xdr:rowOff>723900</xdr:rowOff>
    </xdr:from>
    <xdr:to>
      <xdr:col>2</xdr:col>
      <xdr:colOff>295275</xdr:colOff>
      <xdr:row>0</xdr:row>
      <xdr:rowOff>723900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97FAC826-60D2-4FFC-8565-CA6BC108381E}"/>
            </a:ext>
          </a:extLst>
        </xdr:cNvPr>
        <xdr:cNvCxnSpPr/>
      </xdr:nvCxnSpPr>
      <xdr:spPr>
        <a:xfrm>
          <a:off x="1752600" y="723900"/>
          <a:ext cx="12668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952500</xdr:colOff>
      <xdr:row>0</xdr:row>
      <xdr:rowOff>628650</xdr:rowOff>
    </xdr:from>
    <xdr:to>
      <xdr:col>3</xdr:col>
      <xdr:colOff>1924050</xdr:colOff>
      <xdr:row>0</xdr:row>
      <xdr:rowOff>628651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DBFF67A-4A39-44F9-8BBB-8EE4F30DFC97}"/>
            </a:ext>
          </a:extLst>
        </xdr:cNvPr>
        <xdr:cNvCxnSpPr/>
      </xdr:nvCxnSpPr>
      <xdr:spPr>
        <a:xfrm flipV="1">
          <a:off x="3333750" y="628650"/>
          <a:ext cx="0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1314450</xdr:colOff>
      <xdr:row>0</xdr:row>
      <xdr:rowOff>723900</xdr:rowOff>
    </xdr:from>
    <xdr:to>
      <xdr:col>3</xdr:col>
      <xdr:colOff>295275</xdr:colOff>
      <xdr:row>0</xdr:row>
      <xdr:rowOff>723900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C1E0FFC-1590-468E-917B-72E754E0DB34}"/>
            </a:ext>
          </a:extLst>
        </xdr:cNvPr>
        <xdr:cNvCxnSpPr/>
      </xdr:nvCxnSpPr>
      <xdr:spPr>
        <a:xfrm>
          <a:off x="1752600" y="723900"/>
          <a:ext cx="12668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B4CD0-AB7D-4C47-8794-027CBD569E18}">
  <dimension ref="A1:AX48"/>
  <sheetViews>
    <sheetView tabSelected="1" topLeftCell="G1" workbookViewId="0">
      <selection activeCell="Z2" sqref="Z2"/>
    </sheetView>
  </sheetViews>
  <sheetFormatPr defaultRowHeight="15" x14ac:dyDescent="0.25"/>
  <cols>
    <col min="1" max="1" width="8.85546875" customWidth="1"/>
    <col min="2" max="2" width="20.5703125" customWidth="1"/>
    <col min="3" max="5" width="8.140625" customWidth="1"/>
  </cols>
  <sheetData>
    <row r="1" spans="1:50" ht="60" customHeight="1" x14ac:dyDescent="0.25">
      <c r="A1" s="1"/>
      <c r="B1" s="15" t="s">
        <v>4</v>
      </c>
      <c r="C1" s="15"/>
      <c r="D1" s="15"/>
      <c r="E1" s="15"/>
      <c r="F1" s="15"/>
      <c r="G1" s="16" t="s">
        <v>141</v>
      </c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</row>
    <row r="2" spans="1:50" ht="99.75" x14ac:dyDescent="0.25">
      <c r="A2" s="2" t="s">
        <v>0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  <c r="I2" s="2" t="s">
        <v>12</v>
      </c>
      <c r="J2" s="2" t="s">
        <v>13</v>
      </c>
      <c r="K2" s="2" t="s">
        <v>14</v>
      </c>
      <c r="L2" s="2" t="s">
        <v>15</v>
      </c>
      <c r="M2" s="2" t="s">
        <v>16</v>
      </c>
      <c r="N2" s="2" t="s">
        <v>17</v>
      </c>
      <c r="O2" s="2" t="s">
        <v>18</v>
      </c>
      <c r="P2" s="2" t="s">
        <v>19</v>
      </c>
      <c r="Q2" s="2" t="s">
        <v>20</v>
      </c>
      <c r="R2" s="2" t="s">
        <v>21</v>
      </c>
      <c r="S2" s="2" t="s">
        <v>22</v>
      </c>
      <c r="T2" s="2" t="s">
        <v>23</v>
      </c>
      <c r="U2" s="2" t="s">
        <v>24</v>
      </c>
      <c r="V2" s="2" t="s">
        <v>25</v>
      </c>
      <c r="W2" s="2" t="s">
        <v>26</v>
      </c>
      <c r="X2" s="2" t="s">
        <v>27</v>
      </c>
      <c r="Y2" s="2" t="s">
        <v>28</v>
      </c>
      <c r="Z2" s="2" t="s">
        <v>29</v>
      </c>
      <c r="AA2" s="2" t="s">
        <v>30</v>
      </c>
      <c r="AB2" s="2" t="s">
        <v>31</v>
      </c>
      <c r="AC2" s="2" t="s">
        <v>32</v>
      </c>
      <c r="AD2" s="2" t="s">
        <v>33</v>
      </c>
      <c r="AE2" s="2" t="s">
        <v>34</v>
      </c>
      <c r="AF2" s="2" t="s">
        <v>35</v>
      </c>
      <c r="AG2" s="2" t="s">
        <v>36</v>
      </c>
      <c r="AH2" s="2" t="s">
        <v>37</v>
      </c>
      <c r="AI2" s="2" t="s">
        <v>38</v>
      </c>
      <c r="AJ2" s="2" t="s">
        <v>39</v>
      </c>
      <c r="AK2" s="2" t="s">
        <v>40</v>
      </c>
      <c r="AL2" s="2" t="s">
        <v>41</v>
      </c>
      <c r="AM2" s="2" t="s">
        <v>42</v>
      </c>
      <c r="AN2" s="2" t="s">
        <v>43</v>
      </c>
      <c r="AO2" s="2" t="s">
        <v>44</v>
      </c>
      <c r="AP2" s="2" t="s">
        <v>45</v>
      </c>
      <c r="AQ2" s="2" t="s">
        <v>46</v>
      </c>
      <c r="AR2" s="2" t="s">
        <v>47</v>
      </c>
      <c r="AS2" s="2" t="s">
        <v>48</v>
      </c>
      <c r="AT2" s="2" t="s">
        <v>49</v>
      </c>
      <c r="AU2" s="2" t="s">
        <v>50</v>
      </c>
      <c r="AV2" s="2" t="s">
        <v>51</v>
      </c>
      <c r="AW2" s="2" t="s">
        <v>52</v>
      </c>
      <c r="AX2" s="2" t="s">
        <v>1</v>
      </c>
    </row>
    <row r="3" spans="1:50" ht="15.75" x14ac:dyDescent="0.25">
      <c r="A3" s="3" t="s">
        <v>53</v>
      </c>
      <c r="B3" s="4" t="s">
        <v>54</v>
      </c>
      <c r="C3" s="4"/>
      <c r="D3" s="5"/>
      <c r="E3" s="5"/>
      <c r="F3" s="5"/>
      <c r="G3" s="5"/>
      <c r="H3" s="5"/>
      <c r="I3" s="5"/>
      <c r="J3" s="5"/>
      <c r="K3" s="5"/>
      <c r="L3" s="5">
        <v>4</v>
      </c>
      <c r="M3" s="5"/>
      <c r="N3" s="5"/>
      <c r="O3" s="5"/>
      <c r="P3" s="5"/>
      <c r="Q3" s="5"/>
      <c r="R3" s="5"/>
      <c r="S3" s="5"/>
      <c r="T3" s="5">
        <v>5</v>
      </c>
      <c r="U3" s="5"/>
      <c r="V3" s="5"/>
      <c r="W3" s="5"/>
      <c r="X3" s="5"/>
      <c r="Y3" s="5"/>
      <c r="Z3" s="5"/>
      <c r="AA3" s="5"/>
      <c r="AB3" s="5"/>
      <c r="AC3" s="5"/>
      <c r="AD3" s="5"/>
      <c r="AE3" s="5">
        <v>2</v>
      </c>
      <c r="AF3" s="5"/>
      <c r="AG3" s="5">
        <v>1</v>
      </c>
      <c r="AH3" s="5"/>
      <c r="AI3" s="5"/>
      <c r="AJ3" s="5"/>
      <c r="AK3" s="5"/>
      <c r="AL3" s="5">
        <v>1</v>
      </c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6">
        <f t="shared" ref="AX3:AX45" si="0">SUM(C3:AW3)</f>
        <v>13</v>
      </c>
    </row>
    <row r="4" spans="1:50" ht="15.75" x14ac:dyDescent="0.25">
      <c r="A4" s="3" t="s">
        <v>55</v>
      </c>
      <c r="B4" s="4" t="s">
        <v>56</v>
      </c>
      <c r="C4" s="4"/>
      <c r="D4" s="5"/>
      <c r="E4" s="5"/>
      <c r="F4" s="5"/>
      <c r="G4" s="5"/>
      <c r="H4" s="5"/>
      <c r="I4" s="5"/>
      <c r="J4" s="5"/>
      <c r="K4" s="5"/>
      <c r="L4" s="5">
        <v>1</v>
      </c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6">
        <f t="shared" si="0"/>
        <v>1</v>
      </c>
    </row>
    <row r="5" spans="1:50" ht="15.75" x14ac:dyDescent="0.25">
      <c r="A5" s="3" t="s">
        <v>57</v>
      </c>
      <c r="B5" s="4" t="s">
        <v>58</v>
      </c>
      <c r="C5" s="4"/>
      <c r="D5" s="5"/>
      <c r="E5" s="5"/>
      <c r="F5" s="5"/>
      <c r="G5" s="5">
        <v>1</v>
      </c>
      <c r="H5" s="5"/>
      <c r="I5" s="5"/>
      <c r="J5" s="5"/>
      <c r="K5" s="5"/>
      <c r="L5" s="5">
        <v>2</v>
      </c>
      <c r="M5" s="5"/>
      <c r="N5" s="5">
        <v>2</v>
      </c>
      <c r="O5" s="5">
        <v>1</v>
      </c>
      <c r="P5" s="5"/>
      <c r="Q5" s="5">
        <v>2</v>
      </c>
      <c r="R5" s="5"/>
      <c r="S5" s="5">
        <v>3</v>
      </c>
      <c r="T5" s="5">
        <v>6</v>
      </c>
      <c r="U5" s="5"/>
      <c r="V5" s="5"/>
      <c r="W5" s="5">
        <v>2</v>
      </c>
      <c r="X5" s="5"/>
      <c r="Y5" s="5"/>
      <c r="Z5" s="5"/>
      <c r="AA5" s="5"/>
      <c r="AB5" s="5"/>
      <c r="AC5" s="5"/>
      <c r="AD5" s="5">
        <v>1</v>
      </c>
      <c r="AE5" s="5"/>
      <c r="AF5" s="5"/>
      <c r="AG5" s="5">
        <v>2</v>
      </c>
      <c r="AH5" s="5"/>
      <c r="AI5" s="5"/>
      <c r="AJ5" s="5"/>
      <c r="AK5" s="5">
        <v>2</v>
      </c>
      <c r="AL5" s="5">
        <v>2</v>
      </c>
      <c r="AM5" s="5"/>
      <c r="AN5" s="5"/>
      <c r="AO5" s="5"/>
      <c r="AP5" s="5"/>
      <c r="AQ5" s="5">
        <v>1</v>
      </c>
      <c r="AR5" s="5"/>
      <c r="AS5" s="5">
        <v>1</v>
      </c>
      <c r="AT5" s="5"/>
      <c r="AU5" s="5">
        <v>3</v>
      </c>
      <c r="AV5" s="5">
        <v>2</v>
      </c>
      <c r="AW5" s="5"/>
      <c r="AX5" s="6">
        <f t="shared" si="0"/>
        <v>33</v>
      </c>
    </row>
    <row r="6" spans="1:50" ht="15.75" x14ac:dyDescent="0.25">
      <c r="A6" s="3" t="s">
        <v>59</v>
      </c>
      <c r="B6" s="4" t="s">
        <v>60</v>
      </c>
      <c r="C6" s="4"/>
      <c r="D6" s="5"/>
      <c r="E6" s="5"/>
      <c r="F6" s="5"/>
      <c r="G6" s="5"/>
      <c r="H6" s="5"/>
      <c r="I6" s="5"/>
      <c r="J6" s="5"/>
      <c r="K6" s="5"/>
      <c r="L6" s="5"/>
      <c r="M6" s="5"/>
      <c r="N6" s="5">
        <v>1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>
        <v>1</v>
      </c>
      <c r="AU6" s="5"/>
      <c r="AV6" s="5"/>
      <c r="AW6" s="5"/>
      <c r="AX6" s="6">
        <f t="shared" si="0"/>
        <v>2</v>
      </c>
    </row>
    <row r="7" spans="1:50" ht="15.75" x14ac:dyDescent="0.25">
      <c r="A7" s="3" t="s">
        <v>61</v>
      </c>
      <c r="B7" s="4" t="s">
        <v>62</v>
      </c>
      <c r="C7" s="4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2</v>
      </c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>
        <v>2</v>
      </c>
      <c r="AW7" s="5"/>
      <c r="AX7" s="6">
        <f t="shared" si="0"/>
        <v>4</v>
      </c>
    </row>
    <row r="8" spans="1:50" ht="15.75" x14ac:dyDescent="0.25">
      <c r="A8" s="3" t="s">
        <v>63</v>
      </c>
      <c r="B8" s="4" t="s">
        <v>64</v>
      </c>
      <c r="C8" s="4"/>
      <c r="D8" s="5"/>
      <c r="E8" s="5"/>
      <c r="F8" s="5" t="s">
        <v>65</v>
      </c>
      <c r="G8" s="5"/>
      <c r="H8" s="5"/>
      <c r="I8" s="5"/>
      <c r="J8" s="5"/>
      <c r="K8" s="5"/>
      <c r="L8" s="5"/>
      <c r="M8" s="5"/>
      <c r="N8" s="5"/>
      <c r="O8" s="5">
        <v>2</v>
      </c>
      <c r="P8" s="5"/>
      <c r="Q8" s="5"/>
      <c r="R8" s="5"/>
      <c r="S8" s="5"/>
      <c r="T8" s="5">
        <v>10</v>
      </c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>
        <v>1</v>
      </c>
      <c r="AM8" s="5"/>
      <c r="AN8" s="5">
        <v>1</v>
      </c>
      <c r="AO8" s="5"/>
      <c r="AP8" s="5"/>
      <c r="AQ8" s="5"/>
      <c r="AR8" s="5"/>
      <c r="AS8" s="5"/>
      <c r="AT8" s="5"/>
      <c r="AU8" s="5">
        <v>1</v>
      </c>
      <c r="AV8" s="5"/>
      <c r="AW8" s="5"/>
      <c r="AX8" s="6">
        <f t="shared" si="0"/>
        <v>15</v>
      </c>
    </row>
    <row r="9" spans="1:50" ht="15.75" x14ac:dyDescent="0.25">
      <c r="A9" s="3" t="s">
        <v>66</v>
      </c>
      <c r="B9" s="4" t="s">
        <v>67</v>
      </c>
      <c r="C9" s="4"/>
      <c r="D9" s="5"/>
      <c r="E9" s="5"/>
      <c r="F9" s="5"/>
      <c r="G9" s="5"/>
      <c r="H9" s="5"/>
      <c r="I9" s="5"/>
      <c r="J9" s="5"/>
      <c r="K9" s="5"/>
      <c r="L9" s="5">
        <v>4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6">
        <f t="shared" si="0"/>
        <v>4</v>
      </c>
    </row>
    <row r="10" spans="1:50" ht="15.75" x14ac:dyDescent="0.25">
      <c r="A10" s="3" t="s">
        <v>68</v>
      </c>
      <c r="B10" s="4" t="s">
        <v>69</v>
      </c>
      <c r="C10" s="4"/>
      <c r="D10" s="5"/>
      <c r="E10" s="5"/>
      <c r="F10" s="5"/>
      <c r="G10" s="5"/>
      <c r="H10" s="5"/>
      <c r="I10" s="5"/>
      <c r="J10" s="5"/>
      <c r="K10" s="5"/>
      <c r="L10" s="5">
        <v>1</v>
      </c>
      <c r="M10" s="5"/>
      <c r="N10" s="5">
        <v>6</v>
      </c>
      <c r="O10" s="5"/>
      <c r="P10" s="5">
        <v>1</v>
      </c>
      <c r="Q10" s="5"/>
      <c r="R10" s="5"/>
      <c r="S10" s="5">
        <v>4</v>
      </c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>
        <v>2</v>
      </c>
      <c r="AM10" s="5"/>
      <c r="AN10" s="5"/>
      <c r="AO10" s="5"/>
      <c r="AP10" s="5"/>
      <c r="AQ10" s="5"/>
      <c r="AR10" s="5"/>
      <c r="AS10" s="5"/>
      <c r="AT10" s="5"/>
      <c r="AU10" s="5">
        <v>2</v>
      </c>
      <c r="AV10" s="5">
        <v>1</v>
      </c>
      <c r="AW10" s="5"/>
      <c r="AX10" s="6">
        <f t="shared" si="0"/>
        <v>17</v>
      </c>
    </row>
    <row r="11" spans="1:50" ht="15.75" x14ac:dyDescent="0.25">
      <c r="A11" s="3" t="s">
        <v>70</v>
      </c>
      <c r="B11" s="4" t="s">
        <v>71</v>
      </c>
      <c r="C11" s="4"/>
      <c r="D11" s="5"/>
      <c r="E11" s="5"/>
      <c r="F11" s="5"/>
      <c r="G11" s="5"/>
      <c r="H11" s="5"/>
      <c r="I11" s="5"/>
      <c r="J11" s="5"/>
      <c r="K11" s="5"/>
      <c r="L11" s="5">
        <v>4</v>
      </c>
      <c r="M11" s="5"/>
      <c r="N11" s="5">
        <v>2</v>
      </c>
      <c r="O11" s="5"/>
      <c r="P11" s="5"/>
      <c r="Q11" s="5"/>
      <c r="R11" s="5"/>
      <c r="S11" s="5">
        <v>4</v>
      </c>
      <c r="T11" s="5"/>
      <c r="U11" s="5">
        <v>30</v>
      </c>
      <c r="V11" s="5"/>
      <c r="W11" s="5"/>
      <c r="X11" s="5"/>
      <c r="Y11" s="5"/>
      <c r="Z11" s="5"/>
      <c r="AA11" s="5"/>
      <c r="AB11" s="5"/>
      <c r="AC11" s="5"/>
      <c r="AD11" s="5">
        <v>1</v>
      </c>
      <c r="AE11" s="5"/>
      <c r="AF11" s="5"/>
      <c r="AG11" s="5"/>
      <c r="AH11" s="5"/>
      <c r="AI11" s="5"/>
      <c r="AJ11" s="5"/>
      <c r="AK11" s="5">
        <v>1</v>
      </c>
      <c r="AL11" s="5"/>
      <c r="AM11" s="5"/>
      <c r="AN11" s="5"/>
      <c r="AO11" s="5"/>
      <c r="AP11" s="5"/>
      <c r="AQ11" s="5"/>
      <c r="AR11" s="5"/>
      <c r="AS11" s="5">
        <v>1</v>
      </c>
      <c r="AT11" s="5"/>
      <c r="AU11" s="5">
        <v>1</v>
      </c>
      <c r="AV11" s="5">
        <v>1</v>
      </c>
      <c r="AW11" s="5"/>
      <c r="AX11" s="6">
        <f t="shared" si="0"/>
        <v>45</v>
      </c>
    </row>
    <row r="12" spans="1:50" ht="15.75" x14ac:dyDescent="0.25">
      <c r="A12" s="3" t="s">
        <v>72</v>
      </c>
      <c r="B12" s="4" t="s">
        <v>73</v>
      </c>
      <c r="C12" s="4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>
        <v>2</v>
      </c>
      <c r="T12" s="5"/>
      <c r="U12" s="5"/>
      <c r="V12" s="5"/>
      <c r="W12" s="5"/>
      <c r="X12" s="5"/>
      <c r="Y12" s="5"/>
      <c r="Z12" s="5"/>
      <c r="AA12" s="5"/>
      <c r="AB12" s="5"/>
      <c r="AC12" s="5"/>
      <c r="AD12" s="5">
        <v>1</v>
      </c>
      <c r="AE12" s="5"/>
      <c r="AF12" s="5"/>
      <c r="AG12" s="5"/>
      <c r="AH12" s="5"/>
      <c r="AI12" s="5"/>
      <c r="AJ12" s="5"/>
      <c r="AK12" s="5"/>
      <c r="AL12" s="5"/>
      <c r="AM12" s="5">
        <v>1</v>
      </c>
      <c r="AN12" s="5"/>
      <c r="AO12" s="5">
        <v>1</v>
      </c>
      <c r="AP12" s="5"/>
      <c r="AQ12" s="5">
        <v>1</v>
      </c>
      <c r="AR12" s="5"/>
      <c r="AS12" s="5"/>
      <c r="AT12" s="5"/>
      <c r="AU12" s="5"/>
      <c r="AV12" s="5"/>
      <c r="AW12" s="5"/>
      <c r="AX12" s="6">
        <f t="shared" si="0"/>
        <v>6</v>
      </c>
    </row>
    <row r="13" spans="1:50" ht="15.75" x14ac:dyDescent="0.25">
      <c r="A13" s="3" t="s">
        <v>74</v>
      </c>
      <c r="B13" s="4" t="s">
        <v>75</v>
      </c>
      <c r="C13" s="4"/>
      <c r="D13" s="5"/>
      <c r="E13" s="5"/>
      <c r="F13" s="5">
        <v>1</v>
      </c>
      <c r="G13" s="5"/>
      <c r="H13" s="5"/>
      <c r="I13" s="5"/>
      <c r="J13" s="5"/>
      <c r="K13" s="5"/>
      <c r="L13" s="5"/>
      <c r="M13" s="5"/>
      <c r="N13" s="5">
        <v>1</v>
      </c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>
        <v>1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1</v>
      </c>
      <c r="AW13" s="5"/>
      <c r="AX13" s="6">
        <f t="shared" si="0"/>
        <v>4</v>
      </c>
    </row>
    <row r="14" spans="1:50" ht="15.75" x14ac:dyDescent="0.25">
      <c r="A14" s="3" t="s">
        <v>76</v>
      </c>
      <c r="B14" s="4" t="s">
        <v>77</v>
      </c>
      <c r="C14" s="4"/>
      <c r="D14" s="5"/>
      <c r="E14" s="5"/>
      <c r="F14" s="5"/>
      <c r="G14" s="5"/>
      <c r="H14" s="5">
        <v>1</v>
      </c>
      <c r="I14" s="5"/>
      <c r="J14" s="5"/>
      <c r="K14" s="5"/>
      <c r="L14" s="5"/>
      <c r="M14" s="5"/>
      <c r="N14" s="5"/>
      <c r="O14" s="5"/>
      <c r="P14" s="5"/>
      <c r="Q14" s="5">
        <v>1</v>
      </c>
      <c r="R14" s="5"/>
      <c r="S14" s="5">
        <v>2</v>
      </c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>
        <v>1</v>
      </c>
      <c r="AM14" s="5"/>
      <c r="AN14" s="5"/>
      <c r="AO14" s="5"/>
      <c r="AP14" s="5"/>
      <c r="AQ14" s="5"/>
      <c r="AR14" s="5"/>
      <c r="AS14" s="5">
        <v>1</v>
      </c>
      <c r="AT14" s="5"/>
      <c r="AU14" s="5"/>
      <c r="AV14" s="5"/>
      <c r="AW14" s="5"/>
      <c r="AX14" s="6">
        <f t="shared" si="0"/>
        <v>6</v>
      </c>
    </row>
    <row r="15" spans="1:50" ht="15.75" x14ac:dyDescent="0.25">
      <c r="A15" s="3" t="s">
        <v>78</v>
      </c>
      <c r="B15" s="4" t="s">
        <v>79</v>
      </c>
      <c r="C15" s="4"/>
      <c r="D15" s="5"/>
      <c r="E15" s="5"/>
      <c r="F15" s="5">
        <v>2</v>
      </c>
      <c r="G15" s="5"/>
      <c r="H15" s="5"/>
      <c r="I15" s="5"/>
      <c r="J15" s="5"/>
      <c r="K15" s="5"/>
      <c r="L15" s="5">
        <v>6</v>
      </c>
      <c r="M15" s="5"/>
      <c r="N15" s="5">
        <v>3</v>
      </c>
      <c r="O15" s="5"/>
      <c r="P15" s="5"/>
      <c r="Q15" s="5"/>
      <c r="R15" s="5"/>
      <c r="S15" s="5">
        <v>2</v>
      </c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>
        <v>1</v>
      </c>
      <c r="AL15" s="5"/>
      <c r="AM15" s="5"/>
      <c r="AN15" s="5">
        <v>1</v>
      </c>
      <c r="AO15" s="5">
        <v>2</v>
      </c>
      <c r="AP15" s="5"/>
      <c r="AQ15" s="5">
        <v>1</v>
      </c>
      <c r="AR15" s="5"/>
      <c r="AS15" s="5"/>
      <c r="AT15" s="5"/>
      <c r="AU15" s="5">
        <v>2</v>
      </c>
      <c r="AV15" s="5">
        <v>1</v>
      </c>
      <c r="AW15" s="5">
        <v>1</v>
      </c>
      <c r="AX15" s="6">
        <f t="shared" si="0"/>
        <v>22</v>
      </c>
    </row>
    <row r="16" spans="1:50" ht="15.75" x14ac:dyDescent="0.25">
      <c r="A16" s="3" t="s">
        <v>80</v>
      </c>
      <c r="B16" s="4" t="s">
        <v>81</v>
      </c>
      <c r="C16" s="4"/>
      <c r="D16" s="5"/>
      <c r="E16" s="5"/>
      <c r="F16" s="5"/>
      <c r="G16" s="5"/>
      <c r="H16" s="5"/>
      <c r="I16" s="5"/>
      <c r="J16" s="5"/>
      <c r="K16" s="5"/>
      <c r="L16" s="5">
        <v>5</v>
      </c>
      <c r="M16" s="5"/>
      <c r="N16" s="5"/>
      <c r="O16" s="5">
        <v>4</v>
      </c>
      <c r="P16" s="5"/>
      <c r="Q16" s="5"/>
      <c r="R16" s="5"/>
      <c r="S16" s="5"/>
      <c r="T16" s="5">
        <v>40</v>
      </c>
      <c r="U16" s="5"/>
      <c r="V16" s="5"/>
      <c r="W16" s="5">
        <v>3</v>
      </c>
      <c r="X16" s="5"/>
      <c r="Y16" s="5"/>
      <c r="Z16" s="5"/>
      <c r="AA16" s="5"/>
      <c r="AB16" s="5"/>
      <c r="AC16" s="5"/>
      <c r="AD16" s="5"/>
      <c r="AE16" s="5"/>
      <c r="AF16" s="5"/>
      <c r="AG16" s="5">
        <v>3</v>
      </c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>
        <v>1</v>
      </c>
      <c r="AW16" s="5"/>
      <c r="AX16" s="6">
        <f t="shared" si="0"/>
        <v>56</v>
      </c>
    </row>
    <row r="17" spans="1:50" ht="15.75" x14ac:dyDescent="0.25">
      <c r="A17" s="3" t="s">
        <v>82</v>
      </c>
      <c r="B17" s="4" t="s">
        <v>83</v>
      </c>
      <c r="C17" s="4"/>
      <c r="D17" s="5"/>
      <c r="E17" s="5"/>
      <c r="F17" s="5"/>
      <c r="G17" s="5"/>
      <c r="H17" s="5"/>
      <c r="I17" s="5"/>
      <c r="J17" s="5"/>
      <c r="K17" s="5"/>
      <c r="L17" s="5">
        <v>9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>
        <v>1</v>
      </c>
      <c r="AE17" s="5"/>
      <c r="AF17" s="5"/>
      <c r="AG17" s="5"/>
      <c r="AH17" s="5"/>
      <c r="AI17" s="5"/>
      <c r="AJ17" s="5"/>
      <c r="AK17" s="5"/>
      <c r="AL17" s="5">
        <v>2</v>
      </c>
      <c r="AM17" s="5"/>
      <c r="AN17" s="5"/>
      <c r="AO17" s="5">
        <v>1</v>
      </c>
      <c r="AP17" s="5"/>
      <c r="AQ17" s="5">
        <v>1</v>
      </c>
      <c r="AR17" s="5"/>
      <c r="AS17" s="5">
        <v>1</v>
      </c>
      <c r="AT17" s="5">
        <v>1</v>
      </c>
      <c r="AU17" s="5"/>
      <c r="AV17" s="5">
        <v>2</v>
      </c>
      <c r="AW17" s="5"/>
      <c r="AX17" s="6">
        <f t="shared" si="0"/>
        <v>18</v>
      </c>
    </row>
    <row r="18" spans="1:50" ht="15.75" x14ac:dyDescent="0.25">
      <c r="A18" s="3" t="s">
        <v>84</v>
      </c>
      <c r="B18" s="4" t="s">
        <v>85</v>
      </c>
      <c r="C18" s="4"/>
      <c r="D18" s="5"/>
      <c r="E18" s="5"/>
      <c r="F18" s="5"/>
      <c r="G18" s="5"/>
      <c r="H18" s="5"/>
      <c r="I18" s="5"/>
      <c r="J18" s="5"/>
      <c r="K18" s="5"/>
      <c r="L18" s="5">
        <v>2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>
        <v>1</v>
      </c>
      <c r="AV18" s="5"/>
      <c r="AW18" s="5"/>
      <c r="AX18" s="6">
        <f t="shared" si="0"/>
        <v>3</v>
      </c>
    </row>
    <row r="19" spans="1:50" ht="15.75" x14ac:dyDescent="0.25">
      <c r="A19" s="3" t="s">
        <v>86</v>
      </c>
      <c r="B19" s="4" t="s">
        <v>87</v>
      </c>
      <c r="C19" s="4"/>
      <c r="D19" s="5"/>
      <c r="E19" s="5"/>
      <c r="F19" s="5"/>
      <c r="G19" s="5"/>
      <c r="H19" s="5"/>
      <c r="I19" s="5"/>
      <c r="J19" s="5"/>
      <c r="K19" s="5"/>
      <c r="L19" s="5">
        <v>1</v>
      </c>
      <c r="M19" s="5"/>
      <c r="N19" s="5">
        <v>1</v>
      </c>
      <c r="O19" s="5"/>
      <c r="P19" s="5"/>
      <c r="Q19" s="5"/>
      <c r="R19" s="5"/>
      <c r="S19" s="5">
        <v>1</v>
      </c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>
        <v>1</v>
      </c>
      <c r="AV19" s="5"/>
      <c r="AW19" s="5"/>
      <c r="AX19" s="6">
        <f t="shared" si="0"/>
        <v>4</v>
      </c>
    </row>
    <row r="20" spans="1:50" ht="15.75" x14ac:dyDescent="0.25">
      <c r="A20" s="3" t="s">
        <v>88</v>
      </c>
      <c r="B20" s="4" t="s">
        <v>89</v>
      </c>
      <c r="C20" s="4"/>
      <c r="D20" s="5"/>
      <c r="E20" s="5"/>
      <c r="F20" s="5"/>
      <c r="G20" s="5"/>
      <c r="H20" s="5"/>
      <c r="I20" s="5"/>
      <c r="J20" s="5"/>
      <c r="K20" s="5"/>
      <c r="L20" s="5">
        <v>1</v>
      </c>
      <c r="M20" s="5"/>
      <c r="N20" s="5">
        <v>1</v>
      </c>
      <c r="O20" s="5"/>
      <c r="P20" s="5">
        <v>1</v>
      </c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>
        <v>2</v>
      </c>
      <c r="AW20" s="5"/>
      <c r="AX20" s="6">
        <f t="shared" si="0"/>
        <v>5</v>
      </c>
    </row>
    <row r="21" spans="1:50" ht="15.75" x14ac:dyDescent="0.25">
      <c r="A21" s="3" t="s">
        <v>90</v>
      </c>
      <c r="B21" s="4" t="s">
        <v>91</v>
      </c>
      <c r="C21" s="4"/>
      <c r="D21" s="5"/>
      <c r="E21" s="5"/>
      <c r="F21" s="5"/>
      <c r="G21" s="5"/>
      <c r="H21" s="5">
        <v>1</v>
      </c>
      <c r="I21" s="5"/>
      <c r="J21" s="5"/>
      <c r="K21" s="5"/>
      <c r="L21" s="5">
        <v>1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>
        <v>2</v>
      </c>
      <c r="AM21" s="5"/>
      <c r="AN21" s="5"/>
      <c r="AO21" s="5"/>
      <c r="AP21" s="5"/>
      <c r="AQ21" s="5"/>
      <c r="AR21" s="5"/>
      <c r="AS21" s="5"/>
      <c r="AT21" s="5"/>
      <c r="AU21" s="5">
        <v>1</v>
      </c>
      <c r="AV21" s="5"/>
      <c r="AW21" s="5"/>
      <c r="AX21" s="6">
        <f t="shared" si="0"/>
        <v>5</v>
      </c>
    </row>
    <row r="22" spans="1:50" ht="15.75" x14ac:dyDescent="0.25">
      <c r="A22" s="3" t="s">
        <v>92</v>
      </c>
      <c r="B22" s="4" t="s">
        <v>93</v>
      </c>
      <c r="C22" s="4"/>
      <c r="D22" s="5"/>
      <c r="E22" s="5"/>
      <c r="F22" s="5">
        <v>2</v>
      </c>
      <c r="G22" s="5"/>
      <c r="H22" s="5"/>
      <c r="I22" s="5"/>
      <c r="J22" s="5"/>
      <c r="K22" s="5"/>
      <c r="L22" s="5"/>
      <c r="M22" s="5"/>
      <c r="N22" s="5">
        <v>2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>
        <v>2</v>
      </c>
      <c r="AU22" s="5"/>
      <c r="AV22" s="5">
        <v>3</v>
      </c>
      <c r="AW22" s="5"/>
      <c r="AX22" s="6">
        <f t="shared" si="0"/>
        <v>9</v>
      </c>
    </row>
    <row r="23" spans="1:50" ht="15.75" x14ac:dyDescent="0.25">
      <c r="A23" s="3" t="s">
        <v>94</v>
      </c>
      <c r="B23" s="4" t="s">
        <v>95</v>
      </c>
      <c r="C23" s="4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>
        <v>1</v>
      </c>
      <c r="P23" s="5"/>
      <c r="Q23" s="5"/>
      <c r="R23" s="5"/>
      <c r="S23" s="5"/>
      <c r="T23" s="5">
        <v>10</v>
      </c>
      <c r="U23" s="5"/>
      <c r="V23" s="5"/>
      <c r="W23" s="5"/>
      <c r="X23" s="5">
        <v>1</v>
      </c>
      <c r="Y23" s="5"/>
      <c r="Z23" s="5"/>
      <c r="AA23" s="5"/>
      <c r="AB23" s="5"/>
      <c r="AC23" s="5"/>
      <c r="AD23" s="5"/>
      <c r="AE23" s="5"/>
      <c r="AF23" s="5"/>
      <c r="AG23" s="5">
        <v>1</v>
      </c>
      <c r="AH23" s="5"/>
      <c r="AI23" s="5"/>
      <c r="AJ23" s="5"/>
      <c r="AK23" s="5">
        <v>1</v>
      </c>
      <c r="AL23" s="5">
        <v>2</v>
      </c>
      <c r="AM23" s="5"/>
      <c r="AN23" s="5"/>
      <c r="AO23" s="5">
        <v>1</v>
      </c>
      <c r="AP23" s="5"/>
      <c r="AQ23" s="5"/>
      <c r="AR23" s="5"/>
      <c r="AS23" s="5"/>
      <c r="AT23" s="5"/>
      <c r="AU23" s="5"/>
      <c r="AV23" s="5"/>
      <c r="AW23" s="5"/>
      <c r="AX23" s="6">
        <f t="shared" si="0"/>
        <v>17</v>
      </c>
    </row>
    <row r="24" spans="1:50" ht="15.75" x14ac:dyDescent="0.25">
      <c r="A24" s="3" t="s">
        <v>96</v>
      </c>
      <c r="B24" s="4" t="s">
        <v>97</v>
      </c>
      <c r="C24" s="4"/>
      <c r="D24" s="5"/>
      <c r="E24" s="5"/>
      <c r="F24" s="5"/>
      <c r="G24" s="5"/>
      <c r="H24" s="5"/>
      <c r="I24" s="5"/>
      <c r="J24" s="5"/>
      <c r="K24" s="5"/>
      <c r="L24" s="5">
        <v>8</v>
      </c>
      <c r="M24" s="5"/>
      <c r="N24" s="5">
        <v>3</v>
      </c>
      <c r="O24" s="5"/>
      <c r="P24" s="5"/>
      <c r="Q24" s="5"/>
      <c r="R24" s="5"/>
      <c r="S24" s="5">
        <v>2</v>
      </c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>
        <v>1</v>
      </c>
      <c r="AM24" s="5"/>
      <c r="AN24" s="5"/>
      <c r="AO24" s="5"/>
      <c r="AP24" s="5"/>
      <c r="AQ24" s="5">
        <v>2</v>
      </c>
      <c r="AR24" s="5"/>
      <c r="AS24" s="5"/>
      <c r="AT24" s="5"/>
      <c r="AU24" s="5"/>
      <c r="AV24" s="5">
        <v>1</v>
      </c>
      <c r="AW24" s="5"/>
      <c r="AX24" s="6">
        <f t="shared" si="0"/>
        <v>17</v>
      </c>
    </row>
    <row r="25" spans="1:50" ht="15.75" x14ac:dyDescent="0.25">
      <c r="A25" s="3" t="s">
        <v>98</v>
      </c>
      <c r="B25" s="4" t="s">
        <v>99</v>
      </c>
      <c r="C25" s="4"/>
      <c r="D25" s="5"/>
      <c r="E25" s="5"/>
      <c r="F25" s="5"/>
      <c r="G25" s="5"/>
      <c r="H25" s="5"/>
      <c r="I25" s="5"/>
      <c r="J25" s="5"/>
      <c r="K25" s="5"/>
      <c r="L25" s="5">
        <v>4</v>
      </c>
      <c r="M25" s="5"/>
      <c r="N25" s="5"/>
      <c r="O25" s="5"/>
      <c r="P25" s="5"/>
      <c r="Q25" s="5"/>
      <c r="R25" s="5"/>
      <c r="S25" s="5">
        <v>4</v>
      </c>
      <c r="T25" s="5"/>
      <c r="U25" s="5"/>
      <c r="V25" s="5"/>
      <c r="W25" s="5"/>
      <c r="X25" s="5"/>
      <c r="Y25" s="5"/>
      <c r="Z25" s="5"/>
      <c r="AA25" s="5"/>
      <c r="AB25" s="5">
        <v>1</v>
      </c>
      <c r="AC25" s="5"/>
      <c r="AD25" s="5">
        <v>1</v>
      </c>
      <c r="AE25" s="5"/>
      <c r="AF25" s="5"/>
      <c r="AG25" s="5"/>
      <c r="AH25" s="5"/>
      <c r="AI25" s="5"/>
      <c r="AJ25" s="5"/>
      <c r="AK25" s="5"/>
      <c r="AL25" s="5">
        <v>1</v>
      </c>
      <c r="AM25" s="5"/>
      <c r="AN25" s="5"/>
      <c r="AO25" s="5"/>
      <c r="AP25" s="5"/>
      <c r="AQ25" s="5">
        <v>3</v>
      </c>
      <c r="AR25" s="5"/>
      <c r="AS25" s="5">
        <v>1</v>
      </c>
      <c r="AT25" s="5"/>
      <c r="AU25" s="5">
        <v>1</v>
      </c>
      <c r="AV25" s="5">
        <v>1</v>
      </c>
      <c r="AW25" s="5"/>
      <c r="AX25" s="6">
        <f t="shared" si="0"/>
        <v>17</v>
      </c>
    </row>
    <row r="26" spans="1:50" ht="15.75" x14ac:dyDescent="0.25">
      <c r="A26" s="3" t="s">
        <v>100</v>
      </c>
      <c r="B26" s="4" t="s">
        <v>101</v>
      </c>
      <c r="C26" s="4"/>
      <c r="D26" s="5"/>
      <c r="E26" s="5"/>
      <c r="F26" s="5"/>
      <c r="G26" s="5"/>
      <c r="H26" s="5"/>
      <c r="I26" s="5"/>
      <c r="J26" s="5"/>
      <c r="K26" s="5"/>
      <c r="L26" s="5">
        <v>6</v>
      </c>
      <c r="M26" s="5"/>
      <c r="N26" s="5"/>
      <c r="O26" s="5"/>
      <c r="P26" s="5"/>
      <c r="Q26" s="5"/>
      <c r="R26" s="5"/>
      <c r="S26" s="5"/>
      <c r="T26" s="5">
        <v>10</v>
      </c>
      <c r="U26" s="5"/>
      <c r="V26" s="5"/>
      <c r="W26" s="5"/>
      <c r="X26" s="5"/>
      <c r="Y26" s="5"/>
      <c r="Z26" s="5"/>
      <c r="AA26" s="5"/>
      <c r="AB26" s="5">
        <v>2</v>
      </c>
      <c r="AC26" s="5"/>
      <c r="AD26" s="5">
        <v>7</v>
      </c>
      <c r="AE26" s="5">
        <v>1</v>
      </c>
      <c r="AF26" s="5"/>
      <c r="AG26" s="5"/>
      <c r="AH26" s="5"/>
      <c r="AI26" s="5"/>
      <c r="AJ26" s="5"/>
      <c r="AK26" s="5">
        <v>1</v>
      </c>
      <c r="AL26" s="5">
        <v>1</v>
      </c>
      <c r="AM26" s="5"/>
      <c r="AN26" s="5"/>
      <c r="AO26" s="5"/>
      <c r="AP26" s="5"/>
      <c r="AQ26" s="5"/>
      <c r="AR26" s="5"/>
      <c r="AS26" s="5">
        <v>1</v>
      </c>
      <c r="AT26" s="5">
        <v>1</v>
      </c>
      <c r="AU26" s="5"/>
      <c r="AV26" s="5">
        <v>2</v>
      </c>
      <c r="AW26" s="5"/>
      <c r="AX26" s="6">
        <f t="shared" si="0"/>
        <v>32</v>
      </c>
    </row>
    <row r="27" spans="1:50" ht="15.75" x14ac:dyDescent="0.25">
      <c r="A27" s="3" t="s">
        <v>102</v>
      </c>
      <c r="B27" s="4" t="s">
        <v>103</v>
      </c>
      <c r="C27" s="4"/>
      <c r="D27" s="5"/>
      <c r="E27" s="5"/>
      <c r="F27" s="5"/>
      <c r="G27" s="5"/>
      <c r="H27" s="5"/>
      <c r="I27" s="5"/>
      <c r="J27" s="5"/>
      <c r="K27" s="5"/>
      <c r="L27" s="5"/>
      <c r="M27" s="5"/>
      <c r="N27" s="5">
        <v>1</v>
      </c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>
        <v>1</v>
      </c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6">
        <f t="shared" si="0"/>
        <v>2</v>
      </c>
    </row>
    <row r="28" spans="1:50" ht="15.75" x14ac:dyDescent="0.25">
      <c r="A28" s="3" t="s">
        <v>104</v>
      </c>
      <c r="B28" s="4" t="s">
        <v>105</v>
      </c>
      <c r="C28" s="4"/>
      <c r="D28" s="5"/>
      <c r="E28" s="5"/>
      <c r="F28" s="5"/>
      <c r="G28" s="5"/>
      <c r="H28" s="5"/>
      <c r="I28" s="5"/>
      <c r="J28" s="5"/>
      <c r="K28" s="5"/>
      <c r="L28" s="5">
        <v>13</v>
      </c>
      <c r="M28" s="5">
        <v>2</v>
      </c>
      <c r="N28" s="5"/>
      <c r="O28" s="5"/>
      <c r="P28" s="5"/>
      <c r="Q28" s="5"/>
      <c r="R28" s="5"/>
      <c r="S28" s="5">
        <v>2</v>
      </c>
      <c r="T28" s="5">
        <v>30</v>
      </c>
      <c r="U28" s="5"/>
      <c r="V28" s="5"/>
      <c r="W28" s="5"/>
      <c r="X28" s="5"/>
      <c r="Y28" s="5"/>
      <c r="Z28" s="5"/>
      <c r="AA28" s="5"/>
      <c r="AB28" s="5"/>
      <c r="AC28" s="5"/>
      <c r="AD28" s="5"/>
      <c r="AE28" s="5">
        <v>10</v>
      </c>
      <c r="AF28" s="5"/>
      <c r="AG28" s="5"/>
      <c r="AH28" s="5"/>
      <c r="AI28" s="5"/>
      <c r="AJ28" s="5"/>
      <c r="AK28" s="5"/>
      <c r="AL28" s="5">
        <v>1</v>
      </c>
      <c r="AM28" s="5"/>
      <c r="AN28" s="5">
        <v>1</v>
      </c>
      <c r="AO28" s="5"/>
      <c r="AP28" s="5"/>
      <c r="AQ28" s="5"/>
      <c r="AR28" s="5"/>
      <c r="AS28" s="5"/>
      <c r="AT28" s="5"/>
      <c r="AU28" s="5"/>
      <c r="AV28" s="5">
        <v>1</v>
      </c>
      <c r="AW28" s="5"/>
      <c r="AX28" s="6">
        <f t="shared" si="0"/>
        <v>60</v>
      </c>
    </row>
    <row r="29" spans="1:50" ht="15.75" x14ac:dyDescent="0.25">
      <c r="A29" s="3" t="s">
        <v>106</v>
      </c>
      <c r="B29" s="4" t="s">
        <v>107</v>
      </c>
      <c r="C29" s="4"/>
      <c r="D29" s="5"/>
      <c r="E29" s="5"/>
      <c r="F29" s="5">
        <v>1</v>
      </c>
      <c r="G29" s="5"/>
      <c r="H29" s="5"/>
      <c r="I29" s="5"/>
      <c r="J29" s="5"/>
      <c r="K29" s="5"/>
      <c r="L29" s="5"/>
      <c r="M29" s="5"/>
      <c r="N29" s="5">
        <v>1</v>
      </c>
      <c r="O29" s="5"/>
      <c r="P29" s="5"/>
      <c r="Q29" s="5"/>
      <c r="R29" s="5"/>
      <c r="S29" s="5">
        <v>2</v>
      </c>
      <c r="T29" s="5"/>
      <c r="U29" s="5"/>
      <c r="V29" s="5"/>
      <c r="W29" s="5"/>
      <c r="X29" s="5"/>
      <c r="Y29" s="5"/>
      <c r="Z29" s="5"/>
      <c r="AA29" s="5"/>
      <c r="AB29" s="5">
        <v>1</v>
      </c>
      <c r="AC29" s="5"/>
      <c r="AD29" s="5">
        <v>1</v>
      </c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>
        <v>1</v>
      </c>
      <c r="AT29" s="5"/>
      <c r="AU29" s="5"/>
      <c r="AV29" s="5"/>
      <c r="AW29" s="5"/>
      <c r="AX29" s="6">
        <f t="shared" si="0"/>
        <v>7</v>
      </c>
    </row>
    <row r="30" spans="1:50" ht="15.75" x14ac:dyDescent="0.25">
      <c r="A30" s="3" t="s">
        <v>108</v>
      </c>
      <c r="B30" s="4" t="s">
        <v>109</v>
      </c>
      <c r="C30" s="4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>
        <v>1</v>
      </c>
      <c r="T30" s="5"/>
      <c r="U30" s="5"/>
      <c r="V30" s="5"/>
      <c r="W30" s="5"/>
      <c r="X30" s="5"/>
      <c r="Y30" s="5"/>
      <c r="Z30" s="5"/>
      <c r="AA30" s="5"/>
      <c r="AB30" s="5"/>
      <c r="AC30" s="5"/>
      <c r="AD30" s="5">
        <v>1</v>
      </c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6">
        <f t="shared" si="0"/>
        <v>2</v>
      </c>
    </row>
    <row r="31" spans="1:50" ht="15.75" x14ac:dyDescent="0.25">
      <c r="A31" s="3" t="s">
        <v>110</v>
      </c>
      <c r="B31" s="4" t="s">
        <v>111</v>
      </c>
      <c r="C31" s="4"/>
      <c r="D31" s="5"/>
      <c r="E31" s="5"/>
      <c r="F31" s="5"/>
      <c r="G31" s="5"/>
      <c r="H31" s="5"/>
      <c r="I31" s="5"/>
      <c r="J31" s="5"/>
      <c r="K31" s="5"/>
      <c r="L31" s="5">
        <v>2</v>
      </c>
      <c r="M31" s="5"/>
      <c r="N31" s="5">
        <v>1</v>
      </c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>
        <v>1</v>
      </c>
      <c r="AL31" s="5"/>
      <c r="AM31" s="5"/>
      <c r="AN31" s="5"/>
      <c r="AO31" s="5"/>
      <c r="AP31" s="5"/>
      <c r="AQ31" s="5"/>
      <c r="AR31" s="5"/>
      <c r="AS31" s="5"/>
      <c r="AT31" s="5"/>
      <c r="AU31" s="5">
        <v>1</v>
      </c>
      <c r="AV31" s="5"/>
      <c r="AW31" s="5"/>
      <c r="AX31" s="6">
        <f t="shared" si="0"/>
        <v>5</v>
      </c>
    </row>
    <row r="32" spans="1:50" ht="15.75" x14ac:dyDescent="0.25">
      <c r="A32" s="3" t="s">
        <v>112</v>
      </c>
      <c r="B32" s="4" t="s">
        <v>113</v>
      </c>
      <c r="C32" s="4"/>
      <c r="D32" s="5"/>
      <c r="E32" s="5"/>
      <c r="F32" s="5"/>
      <c r="G32" s="5"/>
      <c r="H32" s="5"/>
      <c r="I32" s="5"/>
      <c r="J32" s="5"/>
      <c r="K32" s="5"/>
      <c r="L32" s="5">
        <v>3</v>
      </c>
      <c r="M32" s="5"/>
      <c r="N32" s="5">
        <v>5</v>
      </c>
      <c r="O32" s="5">
        <v>10</v>
      </c>
      <c r="P32" s="5"/>
      <c r="Q32" s="5"/>
      <c r="R32" s="5"/>
      <c r="S32" s="5">
        <v>2</v>
      </c>
      <c r="T32" s="5">
        <v>60</v>
      </c>
      <c r="U32" s="5"/>
      <c r="V32" s="5"/>
      <c r="W32" s="5">
        <v>8</v>
      </c>
      <c r="X32" s="5"/>
      <c r="Y32" s="5"/>
      <c r="Z32" s="5"/>
      <c r="AA32" s="5"/>
      <c r="AB32" s="5"/>
      <c r="AC32" s="5"/>
      <c r="AD32" s="5"/>
      <c r="AE32" s="5"/>
      <c r="AF32" s="5"/>
      <c r="AG32" s="5">
        <v>8</v>
      </c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6">
        <f t="shared" si="0"/>
        <v>96</v>
      </c>
    </row>
    <row r="33" spans="1:50" ht="15.75" x14ac:dyDescent="0.25">
      <c r="A33" s="3" t="s">
        <v>114</v>
      </c>
      <c r="B33" s="4" t="s">
        <v>115</v>
      </c>
      <c r="C33" s="4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>
        <v>1</v>
      </c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6">
        <f t="shared" si="0"/>
        <v>1</v>
      </c>
    </row>
    <row r="34" spans="1:50" ht="15.75" x14ac:dyDescent="0.25">
      <c r="A34" s="3" t="s">
        <v>116</v>
      </c>
      <c r="B34" s="4" t="s">
        <v>117</v>
      </c>
      <c r="C34" s="7">
        <v>20</v>
      </c>
      <c r="D34" s="5">
        <v>23</v>
      </c>
      <c r="E34" s="5">
        <v>20</v>
      </c>
      <c r="F34" s="5"/>
      <c r="G34" s="5">
        <v>11</v>
      </c>
      <c r="H34" s="5">
        <v>14</v>
      </c>
      <c r="I34" s="5">
        <v>5</v>
      </c>
      <c r="J34" s="5">
        <v>26</v>
      </c>
      <c r="K34" s="5">
        <v>14</v>
      </c>
      <c r="L34" s="5">
        <v>212</v>
      </c>
      <c r="M34" s="5">
        <v>15</v>
      </c>
      <c r="N34" s="5">
        <v>4</v>
      </c>
      <c r="O34" s="5">
        <v>25</v>
      </c>
      <c r="P34" s="5">
        <v>1</v>
      </c>
      <c r="Q34" s="5"/>
      <c r="R34" s="5"/>
      <c r="S34" s="5">
        <v>61</v>
      </c>
      <c r="T34" s="5">
        <v>500</v>
      </c>
      <c r="U34" s="5">
        <v>100</v>
      </c>
      <c r="V34" s="5">
        <v>100</v>
      </c>
      <c r="W34" s="5"/>
      <c r="X34" s="5"/>
      <c r="Y34" s="5">
        <v>10</v>
      </c>
      <c r="Z34" s="5"/>
      <c r="AA34" s="5">
        <v>37</v>
      </c>
      <c r="AB34" s="5"/>
      <c r="AC34" s="5">
        <v>7</v>
      </c>
      <c r="AD34" s="5">
        <v>26</v>
      </c>
      <c r="AE34" s="5">
        <v>15</v>
      </c>
      <c r="AF34" s="5"/>
      <c r="AG34" s="5"/>
      <c r="AH34" s="5">
        <v>5</v>
      </c>
      <c r="AI34" s="5">
        <v>1</v>
      </c>
      <c r="AJ34" s="5"/>
      <c r="AK34" s="5">
        <v>13</v>
      </c>
      <c r="AL34" s="5">
        <v>17</v>
      </c>
      <c r="AM34" s="5"/>
      <c r="AN34" s="5"/>
      <c r="AO34" s="5">
        <v>20</v>
      </c>
      <c r="AP34" s="5">
        <v>11</v>
      </c>
      <c r="AQ34" s="5">
        <v>24</v>
      </c>
      <c r="AR34" s="5">
        <v>2</v>
      </c>
      <c r="AS34" s="5"/>
      <c r="AT34" s="5"/>
      <c r="AU34" s="5">
        <v>24</v>
      </c>
      <c r="AV34" s="5">
        <v>35</v>
      </c>
      <c r="AW34" s="5"/>
      <c r="AX34" s="6">
        <f t="shared" si="0"/>
        <v>1398</v>
      </c>
    </row>
    <row r="35" spans="1:50" ht="15.75" x14ac:dyDescent="0.25">
      <c r="A35" s="3" t="s">
        <v>118</v>
      </c>
      <c r="B35" s="4" t="s">
        <v>119</v>
      </c>
      <c r="C35" s="4"/>
      <c r="D35" s="5"/>
      <c r="E35" s="5"/>
      <c r="F35" s="5"/>
      <c r="G35" s="5"/>
      <c r="H35" s="5"/>
      <c r="I35" s="5"/>
      <c r="J35" s="5"/>
      <c r="K35" s="5">
        <v>5</v>
      </c>
      <c r="L35" s="5"/>
      <c r="M35" s="5"/>
      <c r="N35" s="5"/>
      <c r="O35" s="5">
        <v>3</v>
      </c>
      <c r="P35" s="5"/>
      <c r="Q35" s="5"/>
      <c r="R35" s="5"/>
      <c r="S35" s="5"/>
      <c r="T35" s="5">
        <v>10</v>
      </c>
      <c r="U35" s="5"/>
      <c r="V35" s="5"/>
      <c r="W35" s="5">
        <v>1</v>
      </c>
      <c r="X35" s="5"/>
      <c r="Y35" s="5"/>
      <c r="Z35" s="5"/>
      <c r="AA35" s="5"/>
      <c r="AB35" s="5"/>
      <c r="AC35" s="5"/>
      <c r="AD35" s="5"/>
      <c r="AE35" s="5"/>
      <c r="AF35" s="5"/>
      <c r="AG35" s="5">
        <v>1</v>
      </c>
      <c r="AH35" s="5"/>
      <c r="AI35" s="5"/>
      <c r="AJ35" s="5">
        <v>1</v>
      </c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>
        <v>1</v>
      </c>
      <c r="AV35" s="5"/>
      <c r="AW35" s="5"/>
      <c r="AX35" s="6">
        <f t="shared" si="0"/>
        <v>22</v>
      </c>
    </row>
    <row r="36" spans="1:50" ht="15.75" x14ac:dyDescent="0.25">
      <c r="A36" s="3" t="s">
        <v>120</v>
      </c>
      <c r="B36" s="4" t="s">
        <v>121</v>
      </c>
      <c r="C36" s="4"/>
      <c r="D36" s="5"/>
      <c r="E36" s="5"/>
      <c r="F36" s="5">
        <v>1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6">
        <f t="shared" si="0"/>
        <v>1</v>
      </c>
    </row>
    <row r="37" spans="1:50" ht="15.75" x14ac:dyDescent="0.25">
      <c r="A37" s="3" t="s">
        <v>122</v>
      </c>
      <c r="B37" s="4" t="s">
        <v>123</v>
      </c>
      <c r="C37" s="4"/>
      <c r="D37" s="5"/>
      <c r="E37" s="5"/>
      <c r="F37" s="5"/>
      <c r="G37" s="5"/>
      <c r="H37" s="5"/>
      <c r="I37" s="5"/>
      <c r="J37" s="5"/>
      <c r="K37" s="5"/>
      <c r="L37" s="5">
        <v>10</v>
      </c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10</v>
      </c>
      <c r="Z37" s="5"/>
      <c r="AA37" s="5"/>
      <c r="AB37" s="5">
        <v>1</v>
      </c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>
        <v>1</v>
      </c>
      <c r="AS37" s="5"/>
      <c r="AT37" s="5"/>
      <c r="AU37" s="5"/>
      <c r="AV37" s="5"/>
      <c r="AW37" s="5"/>
      <c r="AX37" s="6">
        <f t="shared" si="0"/>
        <v>22</v>
      </c>
    </row>
    <row r="38" spans="1:50" ht="15.75" x14ac:dyDescent="0.25">
      <c r="A38" s="3" t="s">
        <v>124</v>
      </c>
      <c r="B38" s="4" t="s">
        <v>125</v>
      </c>
      <c r="C38" s="4"/>
      <c r="D38" s="5"/>
      <c r="E38" s="5"/>
      <c r="F38" s="5"/>
      <c r="G38" s="5"/>
      <c r="H38" s="5"/>
      <c r="I38" s="5"/>
      <c r="J38" s="5"/>
      <c r="K38" s="5"/>
      <c r="L38" s="5">
        <v>6</v>
      </c>
      <c r="M38" s="5"/>
      <c r="N38" s="5"/>
      <c r="O38" s="5">
        <v>6</v>
      </c>
      <c r="P38" s="5"/>
      <c r="Q38" s="5"/>
      <c r="R38" s="5"/>
      <c r="S38" s="5">
        <v>1</v>
      </c>
      <c r="T38" s="5">
        <v>20</v>
      </c>
      <c r="U38" s="5"/>
      <c r="V38" s="5"/>
      <c r="W38" s="5"/>
      <c r="X38" s="5"/>
      <c r="Y38" s="5"/>
      <c r="Z38" s="5"/>
      <c r="AA38" s="5"/>
      <c r="AB38" s="5"/>
      <c r="AC38" s="5"/>
      <c r="AD38" s="5"/>
      <c r="AE38" s="5">
        <v>3</v>
      </c>
      <c r="AF38" s="5"/>
      <c r="AG38" s="5"/>
      <c r="AH38" s="5"/>
      <c r="AI38" s="5"/>
      <c r="AJ38" s="5"/>
      <c r="AK38" s="5"/>
      <c r="AL38" s="5">
        <v>2</v>
      </c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6">
        <f t="shared" si="0"/>
        <v>38</v>
      </c>
    </row>
    <row r="39" spans="1:50" ht="15.75" x14ac:dyDescent="0.25">
      <c r="A39" s="3" t="s">
        <v>126</v>
      </c>
      <c r="B39" s="4" t="s">
        <v>127</v>
      </c>
      <c r="C39" s="4"/>
      <c r="D39" s="5"/>
      <c r="E39" s="5"/>
      <c r="F39" s="5"/>
      <c r="G39" s="5"/>
      <c r="H39" s="5"/>
      <c r="I39" s="5"/>
      <c r="J39" s="5"/>
      <c r="K39" s="5"/>
      <c r="L39" s="5"/>
      <c r="M39" s="5">
        <v>5</v>
      </c>
      <c r="N39" s="5">
        <v>1</v>
      </c>
      <c r="O39" s="5"/>
      <c r="P39" s="5"/>
      <c r="Q39" s="5"/>
      <c r="R39" s="5"/>
      <c r="S39" s="5">
        <v>1</v>
      </c>
      <c r="T39" s="5">
        <v>10</v>
      </c>
      <c r="U39" s="5"/>
      <c r="V39" s="5"/>
      <c r="W39" s="5">
        <v>1</v>
      </c>
      <c r="X39" s="5"/>
      <c r="Y39" s="5"/>
      <c r="Z39" s="5"/>
      <c r="AA39" s="5"/>
      <c r="AB39" s="5"/>
      <c r="AC39" s="5"/>
      <c r="AD39" s="5"/>
      <c r="AE39" s="5"/>
      <c r="AF39" s="5">
        <v>1</v>
      </c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>
        <v>1</v>
      </c>
      <c r="AR39" s="5"/>
      <c r="AS39" s="5"/>
      <c r="AT39" s="5"/>
      <c r="AU39" s="5"/>
      <c r="AV39" s="5"/>
      <c r="AW39" s="5"/>
      <c r="AX39" s="6">
        <f t="shared" si="0"/>
        <v>20</v>
      </c>
    </row>
    <row r="40" spans="1:50" ht="15.75" x14ac:dyDescent="0.25">
      <c r="A40" s="3" t="s">
        <v>128</v>
      </c>
      <c r="B40" s="4" t="s">
        <v>129</v>
      </c>
      <c r="C40" s="4"/>
      <c r="D40" s="5"/>
      <c r="E40" s="5"/>
      <c r="F40" s="5">
        <v>1</v>
      </c>
      <c r="G40" s="5">
        <v>1</v>
      </c>
      <c r="H40" s="5"/>
      <c r="I40" s="5"/>
      <c r="J40" s="5"/>
      <c r="K40" s="5"/>
      <c r="L40" s="5">
        <v>3</v>
      </c>
      <c r="M40" s="5"/>
      <c r="N40" s="5">
        <v>3</v>
      </c>
      <c r="O40" s="5">
        <v>5</v>
      </c>
      <c r="P40" s="5"/>
      <c r="Q40" s="5"/>
      <c r="R40" s="5">
        <v>4</v>
      </c>
      <c r="S40" s="5">
        <v>4</v>
      </c>
      <c r="T40" s="5">
        <v>17</v>
      </c>
      <c r="U40" s="5"/>
      <c r="V40" s="5"/>
      <c r="W40" s="5"/>
      <c r="X40" s="5">
        <v>2</v>
      </c>
      <c r="Y40" s="5"/>
      <c r="Z40" s="5">
        <v>1</v>
      </c>
      <c r="AA40" s="5"/>
      <c r="AB40" s="5"/>
      <c r="AC40" s="5"/>
      <c r="AD40" s="5">
        <v>1</v>
      </c>
      <c r="AE40" s="5">
        <v>1</v>
      </c>
      <c r="AF40" s="5"/>
      <c r="AG40" s="5">
        <v>2</v>
      </c>
      <c r="AH40" s="5"/>
      <c r="AI40" s="5"/>
      <c r="AJ40" s="5"/>
      <c r="AK40" s="5"/>
      <c r="AL40" s="5">
        <v>3</v>
      </c>
      <c r="AM40" s="5"/>
      <c r="AN40" s="5"/>
      <c r="AO40" s="5">
        <v>1</v>
      </c>
      <c r="AP40" s="5"/>
      <c r="AQ40" s="5">
        <v>1</v>
      </c>
      <c r="AR40" s="5"/>
      <c r="AS40" s="5">
        <v>1</v>
      </c>
      <c r="AT40" s="5"/>
      <c r="AU40" s="5"/>
      <c r="AV40" s="5">
        <v>2</v>
      </c>
      <c r="AW40" s="5"/>
      <c r="AX40" s="6">
        <f t="shared" si="0"/>
        <v>53</v>
      </c>
    </row>
    <row r="41" spans="1:50" ht="15.75" x14ac:dyDescent="0.25">
      <c r="A41" s="3" t="s">
        <v>130</v>
      </c>
      <c r="B41" s="4" t="s">
        <v>131</v>
      </c>
      <c r="C41" s="4"/>
      <c r="D41" s="5"/>
      <c r="E41" s="5"/>
      <c r="F41" s="5"/>
      <c r="G41" s="5"/>
      <c r="H41" s="5"/>
      <c r="I41" s="5"/>
      <c r="J41" s="5"/>
      <c r="K41" s="5" t="s">
        <v>65</v>
      </c>
      <c r="L41" s="5">
        <v>6</v>
      </c>
      <c r="M41" s="5"/>
      <c r="N41" s="5"/>
      <c r="O41" s="5"/>
      <c r="P41" s="5"/>
      <c r="Q41" s="5"/>
      <c r="R41" s="5"/>
      <c r="S41" s="5">
        <v>1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>
        <v>1</v>
      </c>
      <c r="AR41" s="5"/>
      <c r="AS41" s="5">
        <v>1</v>
      </c>
      <c r="AT41" s="5"/>
      <c r="AU41" s="5"/>
      <c r="AV41" s="5">
        <v>2</v>
      </c>
      <c r="AW41" s="5"/>
      <c r="AX41" s="6">
        <f t="shared" si="0"/>
        <v>11</v>
      </c>
    </row>
    <row r="42" spans="1:50" ht="15.75" x14ac:dyDescent="0.25">
      <c r="A42" s="3" t="s">
        <v>132</v>
      </c>
      <c r="B42" s="4" t="s">
        <v>133</v>
      </c>
      <c r="C42" s="4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>
        <v>2</v>
      </c>
      <c r="AM42" s="5"/>
      <c r="AN42" s="5"/>
      <c r="AO42" s="5"/>
      <c r="AP42" s="5"/>
      <c r="AQ42" s="5"/>
      <c r="AR42" s="5"/>
      <c r="AS42" s="5"/>
      <c r="AT42" s="5"/>
      <c r="AU42" s="5"/>
      <c r="AV42" s="5">
        <v>1</v>
      </c>
      <c r="AW42" s="5"/>
      <c r="AX42" s="6">
        <f t="shared" si="0"/>
        <v>3</v>
      </c>
    </row>
    <row r="43" spans="1:50" ht="15.75" x14ac:dyDescent="0.25">
      <c r="A43" s="3" t="s">
        <v>134</v>
      </c>
      <c r="B43" s="4" t="s">
        <v>135</v>
      </c>
      <c r="C43" s="4"/>
      <c r="D43" s="5"/>
      <c r="E43" s="5"/>
      <c r="F43" s="5">
        <v>1</v>
      </c>
      <c r="G43" s="5"/>
      <c r="H43" s="5"/>
      <c r="I43" s="5"/>
      <c r="J43" s="5"/>
      <c r="K43" s="5"/>
      <c r="L43" s="5">
        <v>4</v>
      </c>
      <c r="M43" s="5"/>
      <c r="N43" s="5">
        <v>1</v>
      </c>
      <c r="O43" s="5"/>
      <c r="P43" s="5"/>
      <c r="Q43" s="5"/>
      <c r="R43" s="5"/>
      <c r="S43" s="5">
        <v>2</v>
      </c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>
        <v>1</v>
      </c>
      <c r="AL43" s="5">
        <v>1</v>
      </c>
      <c r="AM43" s="5"/>
      <c r="AN43" s="5"/>
      <c r="AO43" s="5"/>
      <c r="AP43" s="5"/>
      <c r="AQ43" s="5"/>
      <c r="AR43" s="5"/>
      <c r="AS43" s="5">
        <v>1</v>
      </c>
      <c r="AT43" s="5"/>
      <c r="AU43" s="5"/>
      <c r="AV43" s="5">
        <v>1</v>
      </c>
      <c r="AW43" s="5"/>
      <c r="AX43" s="6">
        <f t="shared" si="0"/>
        <v>12</v>
      </c>
    </row>
    <row r="44" spans="1:50" ht="15.75" x14ac:dyDescent="0.25">
      <c r="A44" s="3" t="s">
        <v>136</v>
      </c>
      <c r="B44" s="4" t="s">
        <v>137</v>
      </c>
      <c r="C44" s="4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>
        <v>1</v>
      </c>
      <c r="AV44" s="5"/>
      <c r="AW44" s="5"/>
      <c r="AX44" s="6">
        <f t="shared" si="0"/>
        <v>1</v>
      </c>
    </row>
    <row r="45" spans="1:50" ht="15.75" x14ac:dyDescent="0.25">
      <c r="A45" s="3" t="s">
        <v>138</v>
      </c>
      <c r="B45" s="4" t="s">
        <v>139</v>
      </c>
      <c r="C45" s="4"/>
      <c r="D45" s="5"/>
      <c r="E45" s="5"/>
      <c r="F45" s="5"/>
      <c r="G45" s="5"/>
      <c r="H45" s="5"/>
      <c r="I45" s="5"/>
      <c r="J45" s="5"/>
      <c r="K45" s="5">
        <v>3</v>
      </c>
      <c r="L45" s="5">
        <v>2</v>
      </c>
      <c r="M45" s="5">
        <v>1</v>
      </c>
      <c r="N45" s="5">
        <v>3</v>
      </c>
      <c r="O45" s="5"/>
      <c r="P45" s="5"/>
      <c r="Q45" s="5"/>
      <c r="R45" s="5"/>
      <c r="S45" s="5"/>
      <c r="T45" s="5">
        <v>5</v>
      </c>
      <c r="U45" s="5"/>
      <c r="V45" s="5"/>
      <c r="W45" s="5"/>
      <c r="X45" s="5"/>
      <c r="Y45" s="5"/>
      <c r="Z45" s="5">
        <v>2</v>
      </c>
      <c r="AA45" s="5"/>
      <c r="AB45" s="5"/>
      <c r="AC45" s="5"/>
      <c r="AD45" s="5">
        <v>1</v>
      </c>
      <c r="AE45" s="5">
        <v>2</v>
      </c>
      <c r="AF45" s="5"/>
      <c r="AG45" s="5">
        <v>1</v>
      </c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1</v>
      </c>
      <c r="AV45" s="5"/>
      <c r="AW45" s="5"/>
      <c r="AX45" s="6">
        <f t="shared" si="0"/>
        <v>21</v>
      </c>
    </row>
    <row r="46" spans="1:50" ht="16.5" x14ac:dyDescent="0.25">
      <c r="A46" s="8"/>
      <c r="B46" s="9" t="s">
        <v>1</v>
      </c>
      <c r="C46" s="8">
        <f t="shared" ref="C46:AX46" si="1">SUM(C3:C45)</f>
        <v>20</v>
      </c>
      <c r="D46" s="8">
        <f t="shared" si="1"/>
        <v>23</v>
      </c>
      <c r="E46" s="8">
        <f t="shared" si="1"/>
        <v>20</v>
      </c>
      <c r="F46" s="8">
        <f t="shared" si="1"/>
        <v>9</v>
      </c>
      <c r="G46" s="8">
        <f t="shared" si="1"/>
        <v>13</v>
      </c>
      <c r="H46" s="8">
        <f t="shared" si="1"/>
        <v>16</v>
      </c>
      <c r="I46" s="8">
        <f t="shared" si="1"/>
        <v>5</v>
      </c>
      <c r="J46" s="8">
        <f t="shared" si="1"/>
        <v>26</v>
      </c>
      <c r="K46" s="8">
        <f t="shared" si="1"/>
        <v>22</v>
      </c>
      <c r="L46" s="8">
        <f t="shared" si="1"/>
        <v>320</v>
      </c>
      <c r="M46" s="8">
        <f t="shared" si="1"/>
        <v>23</v>
      </c>
      <c r="N46" s="8">
        <f t="shared" si="1"/>
        <v>42</v>
      </c>
      <c r="O46" s="8">
        <f t="shared" si="1"/>
        <v>57</v>
      </c>
      <c r="P46" s="8">
        <f t="shared" si="1"/>
        <v>3</v>
      </c>
      <c r="Q46" s="8">
        <f t="shared" si="1"/>
        <v>3</v>
      </c>
      <c r="R46" s="8">
        <f t="shared" si="1"/>
        <v>4</v>
      </c>
      <c r="S46" s="8">
        <f t="shared" si="1"/>
        <v>101</v>
      </c>
      <c r="T46" s="8">
        <f t="shared" si="1"/>
        <v>733</v>
      </c>
      <c r="U46" s="8">
        <f t="shared" si="1"/>
        <v>130</v>
      </c>
      <c r="V46" s="8">
        <f t="shared" si="1"/>
        <v>100</v>
      </c>
      <c r="W46" s="8">
        <f t="shared" si="1"/>
        <v>15</v>
      </c>
      <c r="X46" s="8">
        <f t="shared" si="1"/>
        <v>3</v>
      </c>
      <c r="Y46" s="8">
        <f t="shared" si="1"/>
        <v>22</v>
      </c>
      <c r="Z46" s="8">
        <f t="shared" si="1"/>
        <v>3</v>
      </c>
      <c r="AA46" s="8">
        <f t="shared" si="1"/>
        <v>37</v>
      </c>
      <c r="AB46" s="8">
        <f t="shared" si="1"/>
        <v>6</v>
      </c>
      <c r="AC46" s="8">
        <f t="shared" si="1"/>
        <v>7</v>
      </c>
      <c r="AD46" s="8">
        <f t="shared" si="1"/>
        <v>44</v>
      </c>
      <c r="AE46" s="8">
        <f t="shared" si="1"/>
        <v>34</v>
      </c>
      <c r="AF46" s="8">
        <f t="shared" si="1"/>
        <v>1</v>
      </c>
      <c r="AG46" s="8">
        <f t="shared" si="1"/>
        <v>19</v>
      </c>
      <c r="AH46" s="8">
        <f t="shared" si="1"/>
        <v>5</v>
      </c>
      <c r="AI46" s="8">
        <f t="shared" si="1"/>
        <v>1</v>
      </c>
      <c r="AJ46" s="8">
        <f t="shared" si="1"/>
        <v>1</v>
      </c>
      <c r="AK46" s="8">
        <f t="shared" si="1"/>
        <v>21</v>
      </c>
      <c r="AL46" s="8">
        <f t="shared" si="1"/>
        <v>42</v>
      </c>
      <c r="AM46" s="8">
        <f t="shared" si="1"/>
        <v>1</v>
      </c>
      <c r="AN46" s="8">
        <f t="shared" si="1"/>
        <v>3</v>
      </c>
      <c r="AO46" s="8">
        <f t="shared" si="1"/>
        <v>26</v>
      </c>
      <c r="AP46" s="8">
        <f t="shared" si="1"/>
        <v>11</v>
      </c>
      <c r="AQ46" s="8">
        <f t="shared" si="1"/>
        <v>36</v>
      </c>
      <c r="AR46" s="8">
        <f t="shared" si="1"/>
        <v>3</v>
      </c>
      <c r="AS46" s="8">
        <f t="shared" si="1"/>
        <v>10</v>
      </c>
      <c r="AT46" s="8">
        <f t="shared" si="1"/>
        <v>5</v>
      </c>
      <c r="AU46" s="8">
        <f t="shared" si="1"/>
        <v>41</v>
      </c>
      <c r="AV46" s="8">
        <f t="shared" si="1"/>
        <v>62</v>
      </c>
      <c r="AW46" s="8">
        <f t="shared" si="1"/>
        <v>1</v>
      </c>
      <c r="AX46" s="10">
        <f t="shared" si="1"/>
        <v>2130</v>
      </c>
    </row>
    <row r="47" spans="1:50" ht="23.25" customHeight="1" x14ac:dyDescent="0.35">
      <c r="A47" s="1"/>
      <c r="B47" s="1"/>
      <c r="C47" s="1"/>
      <c r="D47" s="1"/>
      <c r="E47" s="1"/>
      <c r="F47" s="1"/>
      <c r="G47" s="1"/>
      <c r="H47" s="11"/>
      <c r="I47" s="12"/>
      <c r="J47" s="12"/>
      <c r="K47" s="12"/>
      <c r="L47" s="12"/>
      <c r="M47" s="12"/>
      <c r="N47" s="12"/>
      <c r="O47" s="12"/>
      <c r="P47" s="12"/>
      <c r="Q47" s="13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7" t="s">
        <v>140</v>
      </c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ht="23.25" customHeight="1" x14ac:dyDescent="0.35">
      <c r="A48" s="1"/>
      <c r="B48" s="1"/>
      <c r="C48" s="1"/>
      <c r="D48" s="1"/>
      <c r="E48" s="1"/>
      <c r="F48" s="1"/>
      <c r="G48" s="1"/>
      <c r="H48" s="18" t="s">
        <v>2</v>
      </c>
      <c r="I48" s="18"/>
      <c r="J48" s="18"/>
      <c r="K48" s="18"/>
      <c r="L48" s="18"/>
      <c r="M48" s="14"/>
      <c r="N48" s="14"/>
      <c r="O48" s="18"/>
      <c r="P48" s="18"/>
      <c r="Q48" s="18"/>
      <c r="R48" s="18"/>
      <c r="S48" s="18"/>
      <c r="T48" s="18"/>
      <c r="U48" s="18"/>
      <c r="V48" s="18"/>
      <c r="W48" s="18"/>
      <c r="X48" s="12"/>
      <c r="Y48" s="12"/>
      <c r="Z48" s="12"/>
      <c r="AA48" s="12"/>
      <c r="AB48" s="18" t="s">
        <v>3</v>
      </c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</sheetData>
  <mergeCells count="7">
    <mergeCell ref="B1:F1"/>
    <mergeCell ref="G1:AX1"/>
    <mergeCell ref="AB47:AL47"/>
    <mergeCell ref="H48:L48"/>
    <mergeCell ref="O48:P48"/>
    <mergeCell ref="Q48:W48"/>
    <mergeCell ref="AB48:AL4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duy day ngoc</dc:creator>
  <cp:lastModifiedBy>duy day ngoc</cp:lastModifiedBy>
  <dcterms:created xsi:type="dcterms:W3CDTF">2026-05-10T09:42:45Z</dcterms:created>
  <dcterms:modified xsi:type="dcterms:W3CDTF">2026-05-11T16:54:13Z</dcterms:modified>
</cp:coreProperties>
</file>